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IER\01 Univ Pacifico\Clases\Casos\Casos Sim Montecarlo\Caso 2\Caso 2 abreviado\"/>
    </mc:Choice>
  </mc:AlternateContent>
  <xr:revisionPtr revIDLastSave="0" documentId="13_ncr:1_{D46371E5-1DA2-4DC5-B7E2-4791B2A34327}" xr6:coauthVersionLast="47" xr6:coauthVersionMax="47" xr10:uidLastSave="{00000000-0000-0000-0000-000000000000}"/>
  <bookViews>
    <workbookView xWindow="-108" yWindow="-108" windowWidth="23256" windowHeight="12456" xr2:uid="{FB718EB0-1931-4D97-8D94-CBC0E2447CEC}"/>
  </bookViews>
  <sheets>
    <sheet name="Principal" sheetId="2" r:id="rId1"/>
    <sheet name="Flujos Esc Base" sheetId="3" r:id="rId2"/>
    <sheet name="Flujos con Etapas" sheetId="4" r:id="rId3"/>
  </sheets>
  <definedNames>
    <definedName name="_AtRisk_FitDataRange_FIT_1E610_344FF" hidden="1">#REF!</definedName>
    <definedName name="_AtRisk_FitDataRange_FIT_3B349_33FA1" hidden="1">#REF!</definedName>
    <definedName name="_AtRisk_FitDataRange_FIT_9D103_E5F34" hidden="1">#REF!</definedName>
    <definedName name="_AtRisk_FitDataRange_FIT_D62F5_D7734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"4NVWIXXQMQEFUTL64FCSI2W6"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"1"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9" i="4"/>
  <c r="E10" i="4"/>
  <c r="I10" i="4"/>
  <c r="D11" i="4"/>
  <c r="E11" i="4"/>
  <c r="J12" i="4"/>
  <c r="J14" i="4" s="1"/>
  <c r="J55" i="4" s="1"/>
  <c r="J56" i="4" s="1"/>
  <c r="K13" i="4"/>
  <c r="K14" i="4" s="1"/>
  <c r="K55" i="4" s="1"/>
  <c r="K56" i="4" s="1"/>
  <c r="C14" i="4"/>
  <c r="C55" i="4" s="1"/>
  <c r="C56" i="4" s="1"/>
  <c r="D14" i="4"/>
  <c r="D55" i="4" s="1"/>
  <c r="D56" i="4" s="1"/>
  <c r="E14" i="4"/>
  <c r="E55" i="4" s="1"/>
  <c r="E56" i="4" s="1"/>
  <c r="F14" i="4"/>
  <c r="G14" i="4"/>
  <c r="H14" i="4"/>
  <c r="I14" i="4"/>
  <c r="C18" i="4"/>
  <c r="F22" i="4"/>
  <c r="G22" i="4"/>
  <c r="G23" i="4" s="1"/>
  <c r="H22" i="4"/>
  <c r="H23" i="4" s="1"/>
  <c r="I22" i="4"/>
  <c r="I23" i="4" s="1"/>
  <c r="F23" i="4"/>
  <c r="F38" i="4" s="1"/>
  <c r="F46" i="4" s="1"/>
  <c r="C28" i="4"/>
  <c r="D28" i="4"/>
  <c r="E28" i="4"/>
  <c r="F28" i="4"/>
  <c r="G28" i="4"/>
  <c r="H28" i="4"/>
  <c r="I28" i="4"/>
  <c r="F35" i="4"/>
  <c r="G35" i="4"/>
  <c r="H35" i="4"/>
  <c r="I35" i="4"/>
  <c r="F39" i="4"/>
  <c r="F47" i="4" s="1"/>
  <c r="G39" i="4"/>
  <c r="G47" i="4" s="1"/>
  <c r="H39" i="4"/>
  <c r="H47" i="4" s="1"/>
  <c r="I39" i="4"/>
  <c r="I47" i="4"/>
  <c r="J48" i="4"/>
  <c r="J54" i="4" s="1"/>
  <c r="K48" i="4"/>
  <c r="K54" i="4" s="1"/>
  <c r="D54" i="4"/>
  <c r="E54" i="4"/>
  <c r="B55" i="4"/>
  <c r="F55" i="4"/>
  <c r="G55" i="4"/>
  <c r="H55" i="4"/>
  <c r="I55" i="4"/>
  <c r="C5" i="3"/>
  <c r="I12" i="3" s="1"/>
  <c r="I13" i="3" s="1"/>
  <c r="I54" i="3" s="1"/>
  <c r="I55" i="3" s="1"/>
  <c r="C6" i="3"/>
  <c r="C9" i="3"/>
  <c r="C10" i="3"/>
  <c r="G10" i="3"/>
  <c r="H11" i="3"/>
  <c r="H13" i="3" s="1"/>
  <c r="H54" i="3" s="1"/>
  <c r="H55" i="3" s="1"/>
  <c r="C13" i="3"/>
  <c r="D13" i="3"/>
  <c r="E13" i="3"/>
  <c r="F13" i="3"/>
  <c r="F54" i="3" s="1"/>
  <c r="G13" i="3"/>
  <c r="G54" i="3" s="1"/>
  <c r="C17" i="3"/>
  <c r="D22" i="3" s="1"/>
  <c r="D37" i="3" s="1"/>
  <c r="D45" i="3" s="1"/>
  <c r="D21" i="3"/>
  <c r="E21" i="3"/>
  <c r="E22" i="3" s="1"/>
  <c r="E37" i="3" s="1"/>
  <c r="E45" i="3" s="1"/>
  <c r="F21" i="3"/>
  <c r="G21" i="3"/>
  <c r="C27" i="3"/>
  <c r="D27" i="3"/>
  <c r="E27" i="3"/>
  <c r="F27" i="3"/>
  <c r="G27" i="3"/>
  <c r="D34" i="3"/>
  <c r="E34" i="3"/>
  <c r="F34" i="3"/>
  <c r="G34" i="3"/>
  <c r="D38" i="3"/>
  <c r="E38" i="3"/>
  <c r="E46" i="3" s="1"/>
  <c r="F38" i="3"/>
  <c r="G38" i="3"/>
  <c r="D46" i="3"/>
  <c r="F46" i="3"/>
  <c r="G46" i="3"/>
  <c r="H47" i="3"/>
  <c r="I47" i="3"/>
  <c r="H53" i="3"/>
  <c r="I53" i="3"/>
  <c r="B54" i="3"/>
  <c r="C54" i="3"/>
  <c r="C55" i="3" s="1"/>
  <c r="D54" i="3"/>
  <c r="E54" i="3"/>
  <c r="I6" i="2"/>
  <c r="C22" i="2"/>
  <c r="G22" i="3" l="1"/>
  <c r="G37" i="3" s="1"/>
  <c r="G45" i="3" s="1"/>
  <c r="F22" i="3"/>
  <c r="F37" i="3" s="1"/>
  <c r="F45" i="3" s="1"/>
  <c r="I29" i="4"/>
  <c r="I45" i="4" s="1"/>
  <c r="I38" i="4"/>
  <c r="I46" i="4" s="1"/>
  <c r="G38" i="4"/>
  <c r="G46" i="4" s="1"/>
  <c r="G29" i="4"/>
  <c r="G45" i="4" s="1"/>
  <c r="G48" i="4" s="1"/>
  <c r="G54" i="4" s="1"/>
  <c r="G56" i="4" s="1"/>
  <c r="H29" i="4"/>
  <c r="H45" i="4" s="1"/>
  <c r="H38" i="4"/>
  <c r="H46" i="4" s="1"/>
  <c r="F29" i="4"/>
  <c r="F45" i="4" s="1"/>
  <c r="F48" i="4" s="1"/>
  <c r="F54" i="4" s="1"/>
  <c r="F56" i="4" s="1"/>
  <c r="G28" i="3"/>
  <c r="G44" i="3" s="1"/>
  <c r="G47" i="3" s="1"/>
  <c r="G53" i="3" s="1"/>
  <c r="G55" i="3" s="1"/>
  <c r="E28" i="3"/>
  <c r="E44" i="3" s="1"/>
  <c r="E47" i="3" s="1"/>
  <c r="E53" i="3" s="1"/>
  <c r="E55" i="3" s="1"/>
  <c r="D28" i="3"/>
  <c r="D44" i="3" s="1"/>
  <c r="D47" i="3" s="1"/>
  <c r="D53" i="3" s="1"/>
  <c r="D55" i="3" s="1"/>
  <c r="F28" i="3" l="1"/>
  <c r="F44" i="3" s="1"/>
  <c r="F47" i="3" s="1"/>
  <c r="F53" i="3" s="1"/>
  <c r="F55" i="3" s="1"/>
  <c r="H48" i="4"/>
  <c r="H54" i="4" s="1"/>
  <c r="H56" i="4" s="1"/>
  <c r="I48" i="4"/>
  <c r="I54" i="4" s="1"/>
  <c r="I56" i="4" s="1"/>
  <c r="I12" i="2"/>
  <c r="I9" i="2" l="1"/>
</calcChain>
</file>

<file path=xl/sharedStrings.xml><?xml version="1.0" encoding="utf-8"?>
<sst xmlns="http://schemas.openxmlformats.org/spreadsheetml/2006/main" count="99" uniqueCount="55">
  <si>
    <t>Año 2 (US$ MM)</t>
  </si>
  <si>
    <t>Año 1 (US$ MM)</t>
  </si>
  <si>
    <t>Costo Fijo (US$ MM)</t>
  </si>
  <si>
    <t>Inv Exploración y Factibilidad</t>
  </si>
  <si>
    <t>Costo Variable (US$/Tn)</t>
  </si>
  <si>
    <t>Costos</t>
  </si>
  <si>
    <t>Valor Terreno (US$ MM)</t>
  </si>
  <si>
    <t>Valor Mercado Equipos</t>
  </si>
  <si>
    <t>Volumen Reservas (Tn)</t>
  </si>
  <si>
    <t>Valor Residual de Inversiones</t>
  </si>
  <si>
    <t>Aspectos Producción</t>
  </si>
  <si>
    <t>Restauración_Terreno</t>
  </si>
  <si>
    <t>VAN</t>
  </si>
  <si>
    <t>Año Operación 4</t>
  </si>
  <si>
    <t>Escenario con Etapas de Exploración y Explotación</t>
  </si>
  <si>
    <t>Año Operación 3</t>
  </si>
  <si>
    <t>Equipos</t>
  </si>
  <si>
    <t>Año Operación 2</t>
  </si>
  <si>
    <t>Terreno</t>
  </si>
  <si>
    <t>Año Operación 1</t>
  </si>
  <si>
    <t>Inversiones en millones US$</t>
  </si>
  <si>
    <t>Escenario Base</t>
  </si>
  <si>
    <t>Precio Venta (US$/Tn)</t>
  </si>
  <si>
    <t>Cok</t>
  </si>
  <si>
    <t>Aspectos Comerciales</t>
  </si>
  <si>
    <t>Costo de Oportunidad de Capital</t>
  </si>
  <si>
    <t>RESULTADOS</t>
  </si>
  <si>
    <t>SUPUESTOS</t>
  </si>
  <si>
    <t>Las celdas en azul corresponden a datos de entrada.</t>
  </si>
  <si>
    <t>MINERA FINE COPPER</t>
  </si>
  <si>
    <t>FCE</t>
  </si>
  <si>
    <t>Flujo de Caja Op.</t>
  </si>
  <si>
    <t>VII. FLUJO DE CAJA ECONÓMICO</t>
  </si>
  <si>
    <t>Costo Fijo</t>
  </si>
  <si>
    <t>Costo Variable</t>
  </si>
  <si>
    <t>Ingresos</t>
  </si>
  <si>
    <t>VI. FLUJO DE CAJA OPERATIVO</t>
  </si>
  <si>
    <t>Costos (US$ MM)</t>
  </si>
  <si>
    <t>IV. COSTOS</t>
  </si>
  <si>
    <t>Total Ingresos</t>
  </si>
  <si>
    <t>Precio (US$/Tn)</t>
  </si>
  <si>
    <t>Ingresos (US$ MM)</t>
  </si>
  <si>
    <t>III. INGRESOS</t>
  </si>
  <si>
    <t>Producción (Tn)</t>
  </si>
  <si>
    <t>% Mineral vendido</t>
  </si>
  <si>
    <t>Volumen Reservas</t>
  </si>
  <si>
    <t>II. PRODUCCIÓN</t>
  </si>
  <si>
    <t>F. Inversiones</t>
  </si>
  <si>
    <t>Valor Venta Terreno</t>
  </si>
  <si>
    <t>Equipo</t>
  </si>
  <si>
    <t>FCI (US$ MM)</t>
  </si>
  <si>
    <t>US$ MM</t>
  </si>
  <si>
    <t>Valor Mercado</t>
  </si>
  <si>
    <t>I. INVERSIONES</t>
  </si>
  <si>
    <t>Exploración y Factibilidad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</si>
</sst>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_ * #,##0.00_ ;_ * \-#,##0.00_ ;_ * &quot;-&quot;??_ ;_ @_ "/>
    <numFmt numFmtId="166" formatCode="_ * #,##0_ ;_ * \-#,##0_ ;_ * &quot;-&quot;??_ ;_ @_ "/>
    <numFmt numFmtId="167" formatCode="_-* #,##0_-;\-* #,##0_-;_-* &quot;-&quot;??_-;_-@_-"/>
  </numFmts>
  <fonts count="21" x14ac:knownFonts="1">
    <font>
      <sz val="11"/>
      <color theme="1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30"/>
      <name val="Trebuchet MS"/>
      <family val="2"/>
    </font>
    <font>
      <sz val="10"/>
      <color rgb="FF0000FF"/>
      <name val="Trebuchet MS"/>
      <family val="2"/>
    </font>
    <font>
      <sz val="20"/>
      <color theme="1"/>
      <name val="Courier New"/>
      <family val="2"/>
    </font>
    <font>
      <sz val="10"/>
      <color theme="2" tint="-0.749992370372631"/>
      <name val="Trebuchet MS"/>
      <family val="2"/>
    </font>
    <font>
      <b/>
      <i/>
      <sz val="10"/>
      <color theme="1"/>
      <name val="Trebuchet MS"/>
      <family val="2"/>
    </font>
    <font>
      <i/>
      <sz val="10"/>
      <color rgb="FF29669C"/>
      <name val="Trebuchet MS"/>
      <family val="2"/>
    </font>
    <font>
      <b/>
      <sz val="10"/>
      <color theme="1" tint="0.34998626667073579"/>
      <name val="Trebuchet MS"/>
      <family val="2"/>
    </font>
    <font>
      <sz val="10"/>
      <color theme="1" tint="0.34998626667073579"/>
      <name val="Trebuchet MS"/>
      <family val="2"/>
    </font>
    <font>
      <b/>
      <sz val="10"/>
      <color theme="0"/>
      <name val="Trebuchet MS"/>
      <family val="2"/>
    </font>
    <font>
      <i/>
      <sz val="10"/>
      <name val="Trebuchet MS"/>
      <family val="2"/>
    </font>
    <font>
      <i/>
      <sz val="10"/>
      <color rgb="FF0000FF"/>
      <name val="Trebuchet MS"/>
      <family val="2"/>
    </font>
    <font>
      <b/>
      <sz val="16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2"/>
      <name val="Trebuchet MS"/>
      <family val="2"/>
    </font>
    <font>
      <b/>
      <sz val="12"/>
      <name val="Trebuchet MS"/>
      <family val="2"/>
    </font>
    <font>
      <b/>
      <i/>
      <sz val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3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rgb="FF29669C"/>
      </left>
      <right/>
      <top style="thin">
        <color rgb="FF29669C"/>
      </top>
      <bottom style="thin">
        <color rgb="FF29669C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77111117893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164" fontId="4" fillId="0" borderId="0" xfId="2" applyNumberFormat="1" applyFont="1" applyBorder="1"/>
    <xf numFmtId="0" fontId="2" fillId="0" borderId="0" xfId="1" applyFont="1" applyAlignment="1">
      <alignment horizontal="right"/>
    </xf>
    <xf numFmtId="166" fontId="2" fillId="2" borderId="1" xfId="3" applyNumberFormat="1" applyFont="1" applyFill="1" applyBorder="1" applyProtection="1">
      <protection locked="0"/>
    </xf>
    <xf numFmtId="166" fontId="5" fillId="2" borderId="1" xfId="3" applyNumberFormat="1" applyFont="1" applyFill="1" applyBorder="1" applyProtection="1">
      <protection locked="0"/>
    </xf>
    <xf numFmtId="0" fontId="7" fillId="2" borderId="1" xfId="4" applyFont="1" applyFill="1" applyBorder="1" applyAlignment="1" applyProtection="1">
      <alignment horizontal="right"/>
      <protection locked="0"/>
    </xf>
    <xf numFmtId="166" fontId="5" fillId="0" borderId="1" xfId="3" applyNumberFormat="1" applyFont="1" applyFill="1" applyBorder="1" applyProtection="1">
      <protection locked="0"/>
    </xf>
    <xf numFmtId="43" fontId="10" fillId="0" borderId="1" xfId="3" applyNumberFormat="1" applyFont="1" applyFill="1" applyBorder="1" applyProtection="1">
      <protection locked="0"/>
    </xf>
    <xf numFmtId="9" fontId="5" fillId="0" borderId="1" xfId="2" applyFont="1" applyFill="1" applyBorder="1" applyProtection="1">
      <protection locked="0"/>
    </xf>
    <xf numFmtId="0" fontId="3" fillId="0" borderId="0" xfId="1" applyFont="1"/>
    <xf numFmtId="9" fontId="5" fillId="2" borderId="1" xfId="2" applyFont="1" applyFill="1" applyBorder="1" applyProtection="1">
      <protection locked="0"/>
    </xf>
    <xf numFmtId="9" fontId="11" fillId="0" borderId="1" xfId="2" applyFont="1" applyFill="1" applyBorder="1" applyProtection="1">
      <protection locked="0"/>
    </xf>
    <xf numFmtId="0" fontId="12" fillId="3" borderId="4" xfId="4" applyFont="1" applyFill="1" applyBorder="1" applyAlignment="1" applyProtection="1">
      <alignment horizontal="center"/>
      <protection locked="0"/>
    </xf>
    <xf numFmtId="0" fontId="12" fillId="3" borderId="5" xfId="4" applyFont="1" applyFill="1" applyBorder="1" applyAlignment="1" applyProtection="1">
      <alignment horizontal="left"/>
      <protection locked="0"/>
    </xf>
    <xf numFmtId="0" fontId="12" fillId="3" borderId="0" xfId="4" applyFont="1" applyFill="1" applyAlignment="1" applyProtection="1">
      <alignment horizontal="center"/>
      <protection locked="0"/>
    </xf>
    <xf numFmtId="0" fontId="13" fillId="0" borderId="0" xfId="1" applyFont="1"/>
    <xf numFmtId="0" fontId="14" fillId="0" borderId="0" xfId="1" applyFont="1"/>
    <xf numFmtId="0" fontId="15" fillId="0" borderId="0" xfId="1" applyFont="1" applyAlignment="1">
      <alignment horizontal="centerContinuous"/>
    </xf>
    <xf numFmtId="167" fontId="16" fillId="0" borderId="1" xfId="4" applyNumberFormat="1" applyFont="1" applyBorder="1"/>
    <xf numFmtId="0" fontId="16" fillId="0" borderId="1" xfId="4" applyFont="1" applyBorder="1"/>
    <xf numFmtId="167" fontId="17" fillId="0" borderId="6" xfId="5" applyNumberFormat="1" applyFont="1" applyBorder="1"/>
    <xf numFmtId="0" fontId="17" fillId="0" borderId="6" xfId="1" applyFont="1" applyBorder="1"/>
    <xf numFmtId="167" fontId="17" fillId="0" borderId="7" xfId="5" applyNumberFormat="1" applyFont="1" applyBorder="1"/>
    <xf numFmtId="0" fontId="17" fillId="0" borderId="7" xfId="1" applyFont="1" applyBorder="1"/>
    <xf numFmtId="0" fontId="12" fillId="3" borderId="5" xfId="4" applyFont="1" applyFill="1" applyBorder="1" applyAlignment="1" applyProtection="1">
      <alignment horizontal="center"/>
      <protection locked="0"/>
    </xf>
    <xf numFmtId="0" fontId="18" fillId="4" borderId="8" xfId="1" applyFont="1" applyFill="1" applyBorder="1" applyAlignment="1">
      <alignment horizontal="centerContinuous"/>
    </xf>
    <xf numFmtId="0" fontId="18" fillId="4" borderId="9" xfId="1" applyFont="1" applyFill="1" applyBorder="1" applyAlignment="1">
      <alignment horizontal="centerContinuous"/>
    </xf>
    <xf numFmtId="0" fontId="19" fillId="4" borderId="10" xfId="1" applyFont="1" applyFill="1" applyBorder="1" applyAlignment="1">
      <alignment horizontal="centerContinuous"/>
    </xf>
    <xf numFmtId="167" fontId="17" fillId="0" borderId="11" xfId="3" applyNumberFormat="1" applyFont="1" applyBorder="1"/>
    <xf numFmtId="0" fontId="17" fillId="0" borderId="11" xfId="4" applyFont="1" applyBorder="1"/>
    <xf numFmtId="167" fontId="17" fillId="0" borderId="6" xfId="3" applyNumberFormat="1" applyFont="1" applyBorder="1"/>
    <xf numFmtId="0" fontId="17" fillId="0" borderId="6" xfId="4" applyFont="1" applyBorder="1"/>
    <xf numFmtId="165" fontId="17" fillId="0" borderId="11" xfId="3" applyFont="1" applyBorder="1"/>
    <xf numFmtId="165" fontId="3" fillId="0" borderId="0" xfId="3" applyFont="1" applyBorder="1"/>
    <xf numFmtId="10" fontId="2" fillId="0" borderId="0" xfId="2" applyNumberFormat="1" applyFont="1"/>
    <xf numFmtId="166" fontId="2" fillId="0" borderId="0" xfId="1" applyNumberFormat="1" applyFont="1"/>
    <xf numFmtId="0" fontId="16" fillId="0" borderId="12" xfId="4" applyFont="1" applyBorder="1"/>
    <xf numFmtId="166" fontId="16" fillId="0" borderId="1" xfId="3" applyNumberFormat="1" applyFont="1" applyBorder="1"/>
    <xf numFmtId="9" fontId="2" fillId="0" borderId="0" xfId="1" applyNumberFormat="1" applyFont="1"/>
    <xf numFmtId="167" fontId="2" fillId="0" borderId="0" xfId="1" applyNumberFormat="1" applyFont="1"/>
    <xf numFmtId="9" fontId="16" fillId="0" borderId="1" xfId="2" applyFont="1" applyBorder="1"/>
    <xf numFmtId="167" fontId="2" fillId="0" borderId="13" xfId="1" applyNumberFormat="1" applyFont="1" applyBorder="1"/>
    <xf numFmtId="167" fontId="17" fillId="0" borderId="7" xfId="3" applyNumberFormat="1" applyFont="1" applyBorder="1"/>
    <xf numFmtId="0" fontId="17" fillId="0" borderId="7" xfId="4" applyFont="1" applyBorder="1"/>
    <xf numFmtId="166" fontId="2" fillId="0" borderId="13" xfId="3" applyNumberFormat="1" applyFont="1" applyBorder="1"/>
    <xf numFmtId="0" fontId="7" fillId="2" borderId="13" xfId="4" applyFont="1" applyFill="1" applyBorder="1" applyAlignment="1" applyProtection="1">
      <alignment horizontal="right"/>
      <protection locked="0"/>
    </xf>
    <xf numFmtId="43" fontId="2" fillId="0" borderId="0" xfId="1" applyNumberFormat="1" applyFont="1"/>
    <xf numFmtId="167" fontId="5" fillId="0" borderId="0" xfId="1" applyNumberFormat="1" applyFont="1"/>
    <xf numFmtId="166" fontId="2" fillId="0" borderId="0" xfId="3" applyNumberFormat="1" applyFont="1" applyBorder="1"/>
    <xf numFmtId="0" fontId="8" fillId="0" borderId="0" xfId="1" applyFont="1" applyAlignment="1" applyProtection="1">
      <alignment horizontal="center"/>
      <protection locked="0"/>
    </xf>
    <xf numFmtId="0" fontId="9" fillId="5" borderId="3" xfId="1" applyFont="1" applyFill="1" applyBorder="1" applyAlignment="1" applyProtection="1">
      <alignment horizontal="left"/>
      <protection locked="0"/>
    </xf>
    <xf numFmtId="0" fontId="8" fillId="5" borderId="2" xfId="1" applyFont="1" applyFill="1" applyBorder="1" applyProtection="1">
      <protection locked="0"/>
    </xf>
    <xf numFmtId="0" fontId="20" fillId="5" borderId="13" xfId="1" applyFont="1" applyFill="1" applyBorder="1" applyAlignment="1" applyProtection="1">
      <alignment horizontal="center"/>
      <protection locked="0"/>
    </xf>
    <xf numFmtId="0" fontId="8" fillId="5" borderId="13" xfId="1" applyFont="1" applyFill="1" applyBorder="1" applyAlignment="1" applyProtection="1">
      <alignment horizontal="center"/>
      <protection locked="0"/>
    </xf>
  </cellXfs>
  <cellStyles count="6">
    <cellStyle name="Millares 2" xfId="3" xr:uid="{6414FAE3-4D94-402B-9DF3-11E673C81F2E}"/>
    <cellStyle name="Millares 2 2" xfId="5" xr:uid="{BE030141-CC48-4072-9ACE-571B3D5B1EC5}"/>
    <cellStyle name="Normal" xfId="0" builtinId="0"/>
    <cellStyle name="Normal 2" xfId="1" xr:uid="{F64BDE8B-3729-4543-87BC-C9B8B4A8241A}"/>
    <cellStyle name="Normal 2 2" xfId="4" xr:uid="{7A5519D0-6CAC-42E6-9EFA-12CA90556BBE}"/>
    <cellStyle name="Porcentaje 2" xfId="2" xr:uid="{384CABC0-D633-439E-935B-B5ABDB0D19F4}"/>
  </cellStyles>
  <dxfs count="12"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7723-356F-40CE-BAB1-19C1C4483B80}">
  <dimension ref="B1:I54"/>
  <sheetViews>
    <sheetView showGridLines="0" tabSelected="1" workbookViewId="0">
      <selection activeCell="H16" sqref="H16"/>
    </sheetView>
  </sheetViews>
  <sheetFormatPr baseColWidth="10" defaultRowHeight="14.4" x14ac:dyDescent="0.35"/>
  <cols>
    <col min="1" max="1" width="11.5546875" style="1"/>
    <col min="2" max="2" width="23.5546875" style="1" customWidth="1"/>
    <col min="3" max="4" width="11.5546875" style="1"/>
    <col min="5" max="5" width="21.77734375" style="1" bestFit="1" customWidth="1"/>
    <col min="6" max="16384" width="11.5546875" style="1"/>
  </cols>
  <sheetData>
    <row r="1" spans="2:9" ht="22.2" x14ac:dyDescent="0.45">
      <c r="B1" s="20" t="s">
        <v>29</v>
      </c>
      <c r="C1" s="20"/>
      <c r="D1" s="20"/>
      <c r="E1" s="20"/>
      <c r="F1" s="20"/>
    </row>
    <row r="2" spans="2:9" x14ac:dyDescent="0.35">
      <c r="B2" s="19" t="s">
        <v>28</v>
      </c>
    </row>
    <row r="3" spans="2:9" x14ac:dyDescent="0.35">
      <c r="B3" s="18"/>
    </row>
    <row r="4" spans="2:9" x14ac:dyDescent="0.35">
      <c r="B4" s="16" t="s">
        <v>27</v>
      </c>
      <c r="C4" s="17"/>
      <c r="D4" s="17"/>
      <c r="E4" s="17"/>
      <c r="F4" s="15"/>
      <c r="H4" s="16" t="s">
        <v>26</v>
      </c>
      <c r="I4" s="15"/>
    </row>
    <row r="6" spans="2:9" x14ac:dyDescent="0.35">
      <c r="B6" s="53" t="s">
        <v>25</v>
      </c>
      <c r="C6" s="54"/>
      <c r="E6" s="53" t="s">
        <v>24</v>
      </c>
      <c r="F6" s="54"/>
      <c r="H6" s="8" t="s">
        <v>23</v>
      </c>
      <c r="I6" s="14">
        <f>+C7</f>
        <v>0.12</v>
      </c>
    </row>
    <row r="7" spans="2:9" x14ac:dyDescent="0.35">
      <c r="B7" s="8" t="s">
        <v>23</v>
      </c>
      <c r="C7" s="13">
        <v>0.12</v>
      </c>
      <c r="E7" s="8" t="s">
        <v>22</v>
      </c>
      <c r="F7" s="9">
        <v>4550</v>
      </c>
    </row>
    <row r="8" spans="2:9" x14ac:dyDescent="0.35">
      <c r="E8" s="5"/>
      <c r="F8" s="4"/>
      <c r="H8" s="12" t="s">
        <v>21</v>
      </c>
    </row>
    <row r="9" spans="2:9" x14ac:dyDescent="0.35">
      <c r="B9" s="53" t="s">
        <v>20</v>
      </c>
      <c r="C9" s="54"/>
      <c r="E9" s="8" t="s">
        <v>19</v>
      </c>
      <c r="F9" s="11">
        <v>0.25</v>
      </c>
      <c r="H9" s="8" t="s">
        <v>12</v>
      </c>
      <c r="I9" s="10">
        <f>+NPV(I6,'Flujos Esc Base'!D55:I55)+'Flujos Esc Base'!C55</f>
        <v>30.057082638458695</v>
      </c>
    </row>
    <row r="10" spans="2:9" x14ac:dyDescent="0.35">
      <c r="B10" s="8" t="s">
        <v>18</v>
      </c>
      <c r="C10" s="9">
        <v>15</v>
      </c>
      <c r="E10" s="8" t="s">
        <v>17</v>
      </c>
      <c r="F10" s="11">
        <v>0.25</v>
      </c>
    </row>
    <row r="11" spans="2:9" x14ac:dyDescent="0.35">
      <c r="B11" s="8" t="s">
        <v>16</v>
      </c>
      <c r="C11" s="9">
        <v>150</v>
      </c>
      <c r="E11" s="8" t="s">
        <v>15</v>
      </c>
      <c r="F11" s="11">
        <v>0.25</v>
      </c>
      <c r="H11" s="12" t="s">
        <v>14</v>
      </c>
    </row>
    <row r="12" spans="2:9" x14ac:dyDescent="0.35">
      <c r="E12" s="8" t="s">
        <v>13</v>
      </c>
      <c r="F12" s="11">
        <v>0.25</v>
      </c>
      <c r="H12" s="8" t="s">
        <v>12</v>
      </c>
      <c r="I12" s="10">
        <f>+NPV(I6,'Flujos con Etapas'!D56:K56)+'Flujos con Etapas'!C56</f>
        <v>4.0187202156080133</v>
      </c>
    </row>
    <row r="13" spans="2:9" x14ac:dyDescent="0.35">
      <c r="B13" s="8" t="s">
        <v>11</v>
      </c>
      <c r="C13" s="9">
        <v>5</v>
      </c>
    </row>
    <row r="14" spans="2:9" x14ac:dyDescent="0.35">
      <c r="E14" s="53" t="s">
        <v>10</v>
      </c>
      <c r="F14" s="54"/>
    </row>
    <row r="15" spans="2:9" x14ac:dyDescent="0.35">
      <c r="B15" s="53" t="s">
        <v>9</v>
      </c>
      <c r="C15" s="54"/>
      <c r="E15" s="8" t="s">
        <v>8</v>
      </c>
      <c r="F15" s="9">
        <v>850000</v>
      </c>
    </row>
    <row r="16" spans="2:9" x14ac:dyDescent="0.35">
      <c r="B16" s="8" t="s">
        <v>7</v>
      </c>
      <c r="C16" s="9">
        <v>75</v>
      </c>
      <c r="E16" s="5"/>
      <c r="F16" s="4"/>
    </row>
    <row r="17" spans="2:6" x14ac:dyDescent="0.35">
      <c r="B17" s="8" t="s">
        <v>6</v>
      </c>
      <c r="C17" s="9">
        <v>20</v>
      </c>
      <c r="E17" s="53" t="s">
        <v>5</v>
      </c>
      <c r="F17" s="54"/>
    </row>
    <row r="18" spans="2:6" x14ac:dyDescent="0.35">
      <c r="E18" s="8" t="s">
        <v>4</v>
      </c>
      <c r="F18" s="9">
        <v>1980</v>
      </c>
    </row>
    <row r="19" spans="2:6" x14ac:dyDescent="0.35">
      <c r="B19" s="53" t="s">
        <v>3</v>
      </c>
      <c r="C19" s="54"/>
      <c r="E19" s="8" t="s">
        <v>2</v>
      </c>
      <c r="F19" s="9">
        <v>500</v>
      </c>
    </row>
    <row r="20" spans="2:6" x14ac:dyDescent="0.35">
      <c r="B20" s="8" t="s">
        <v>1</v>
      </c>
      <c r="C20" s="7">
        <v>10</v>
      </c>
    </row>
    <row r="21" spans="2:6" x14ac:dyDescent="0.35">
      <c r="B21" s="8" t="s">
        <v>0</v>
      </c>
      <c r="C21" s="7">
        <v>10</v>
      </c>
    </row>
    <row r="22" spans="2:6" x14ac:dyDescent="0.35">
      <c r="C22" s="6">
        <f>+SUM(C20:C21)</f>
        <v>20</v>
      </c>
    </row>
    <row r="38" spans="2:3" x14ac:dyDescent="0.35">
      <c r="B38" s="5"/>
      <c r="C38" s="4"/>
    </row>
    <row r="39" spans="2:3" x14ac:dyDescent="0.35">
      <c r="B39" s="5"/>
      <c r="C39" s="4"/>
    </row>
    <row r="40" spans="2:3" x14ac:dyDescent="0.35">
      <c r="B40" s="5"/>
      <c r="C40" s="4"/>
    </row>
    <row r="54" spans="2:8" x14ac:dyDescent="0.35">
      <c r="B54" s="3"/>
      <c r="C54" s="2"/>
      <c r="D54" s="2"/>
      <c r="E54" s="2"/>
      <c r="F54" s="2"/>
      <c r="G54" s="2"/>
      <c r="H54" s="2"/>
    </row>
  </sheetData>
  <conditionalFormatting sqref="I9 C11">
    <cfRule type="expression" dxfId="11" priority="4" stopIfTrue="1">
      <formula>RiskColorCellsSimOutput</formula>
    </cfRule>
    <cfRule type="expression" dxfId="10" priority="5" stopIfTrue="1">
      <formula>RiskColorCellsSimInput</formula>
    </cfRule>
    <cfRule type="expression" dxfId="9" priority="6" stopIfTrue="1">
      <formula>RiskColorCellsSimStatistics</formula>
    </cfRule>
  </conditionalFormatting>
  <conditionalFormatting sqref="I12">
    <cfRule type="expression" dxfId="8" priority="1" stopIfTrue="1">
      <formula>RiskColorCellsSimOutput</formula>
    </cfRule>
    <cfRule type="expression" dxfId="7" priority="2" stopIfTrue="1">
      <formula>RiskColorCellsSimInput</formula>
    </cfRule>
    <cfRule type="expression" dxfId="6" priority="3" stopIfTrue="1">
      <formula>RiskColorCellsSimStatistics</formula>
    </cfRule>
  </conditionalFormatting>
  <pageMargins left="0.7" right="0.7" top="0.75" bottom="0.75" header="0.3" footer="0.3"/>
  <pageSetup orientation="portrait" r:id="rId1"/>
  <cellWatches>
    <cellWatch r="I9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2547-73BF-4E9F-939A-35665F60B74B}">
  <dimension ref="B1:K55"/>
  <sheetViews>
    <sheetView showGridLines="0" workbookViewId="0">
      <selection activeCell="H3" sqref="H3"/>
    </sheetView>
  </sheetViews>
  <sheetFormatPr baseColWidth="10" defaultRowHeight="14.4" x14ac:dyDescent="0.35"/>
  <cols>
    <col min="1" max="1" width="11.5546875" style="1"/>
    <col min="2" max="2" width="22.88671875" style="1" customWidth="1"/>
    <col min="3" max="3" width="15.33203125" style="1" bestFit="1" customWidth="1"/>
    <col min="4" max="4" width="14.88671875" style="1" bestFit="1" customWidth="1"/>
    <col min="5" max="5" width="14.33203125" style="1" bestFit="1" customWidth="1"/>
    <col min="6" max="6" width="14.6640625" style="1" bestFit="1" customWidth="1"/>
    <col min="7" max="7" width="14" style="1" bestFit="1" customWidth="1"/>
    <col min="8" max="8" width="13.5546875" style="1" bestFit="1" customWidth="1"/>
    <col min="9" max="9" width="13.44140625" style="1" bestFit="1" customWidth="1"/>
    <col min="10" max="10" width="13.88671875" style="1" bestFit="1" customWidth="1"/>
    <col min="11" max="11" width="13.5546875" style="1" bestFit="1" customWidth="1"/>
    <col min="12" max="12" width="13.44140625" style="1" bestFit="1" customWidth="1"/>
    <col min="13" max="16384" width="11.5546875" style="1"/>
  </cols>
  <sheetData>
    <row r="1" spans="2:9" ht="15" thickBot="1" x14ac:dyDescent="0.4"/>
    <row r="2" spans="2:9" ht="16.8" thickBot="1" x14ac:dyDescent="0.4">
      <c r="B2" s="30" t="s">
        <v>53</v>
      </c>
      <c r="C2" s="29"/>
      <c r="D2" s="29"/>
      <c r="E2" s="29"/>
      <c r="F2" s="29"/>
      <c r="G2" s="29"/>
      <c r="H2" s="29"/>
      <c r="I2" s="28"/>
    </row>
    <row r="3" spans="2:9" x14ac:dyDescent="0.35">
      <c r="B3" s="3"/>
      <c r="C3" s="2"/>
      <c r="D3" s="2"/>
      <c r="E3" s="2"/>
      <c r="F3" s="2"/>
      <c r="G3" s="2"/>
      <c r="H3" s="2"/>
      <c r="I3" s="2"/>
    </row>
    <row r="4" spans="2:9" x14ac:dyDescent="0.35">
      <c r="B4" s="55" t="s">
        <v>52</v>
      </c>
      <c r="C4" s="56" t="s">
        <v>51</v>
      </c>
      <c r="D4" s="2"/>
      <c r="E4" s="2"/>
      <c r="F4" s="2"/>
      <c r="G4" s="2"/>
      <c r="H4" s="2"/>
      <c r="I4" s="2"/>
    </row>
    <row r="5" spans="2:9" x14ac:dyDescent="0.35">
      <c r="B5" s="48" t="s">
        <v>18</v>
      </c>
      <c r="C5" s="47">
        <f>+Principal!C17</f>
        <v>20</v>
      </c>
      <c r="D5" s="2"/>
      <c r="E5" s="2"/>
      <c r="F5" s="2"/>
      <c r="G5" s="2"/>
      <c r="H5" s="2"/>
      <c r="I5" s="2"/>
    </row>
    <row r="6" spans="2:9" x14ac:dyDescent="0.35">
      <c r="B6" s="48" t="s">
        <v>16</v>
      </c>
      <c r="C6" s="47">
        <f>+Principal!C16</f>
        <v>75</v>
      </c>
      <c r="D6" s="2"/>
      <c r="E6" s="2"/>
      <c r="F6" s="2"/>
      <c r="G6" s="2"/>
      <c r="H6" s="2"/>
      <c r="I6" s="2"/>
    </row>
    <row r="8" spans="2:9" x14ac:dyDescent="0.35">
      <c r="B8" s="27" t="s">
        <v>50</v>
      </c>
      <c r="C8" s="27">
        <v>0</v>
      </c>
      <c r="D8" s="27">
        <v>1</v>
      </c>
      <c r="E8" s="27">
        <v>2</v>
      </c>
      <c r="F8" s="27">
        <v>3</v>
      </c>
      <c r="G8" s="27">
        <v>4</v>
      </c>
      <c r="H8" s="27">
        <v>5</v>
      </c>
      <c r="I8" s="27">
        <v>6</v>
      </c>
    </row>
    <row r="9" spans="2:9" x14ac:dyDescent="0.35">
      <c r="B9" s="46" t="s">
        <v>18</v>
      </c>
      <c r="C9" s="45">
        <f>-Principal!C10</f>
        <v>-15</v>
      </c>
      <c r="D9" s="45"/>
      <c r="E9" s="45"/>
      <c r="F9" s="45"/>
      <c r="G9" s="45"/>
      <c r="H9" s="45"/>
      <c r="I9" s="45"/>
    </row>
    <row r="10" spans="2:9" x14ac:dyDescent="0.35">
      <c r="B10" s="34" t="s">
        <v>49</v>
      </c>
      <c r="C10" s="33">
        <f>-Principal!C11</f>
        <v>-150</v>
      </c>
      <c r="D10" s="33"/>
      <c r="E10" s="33"/>
      <c r="F10" s="33"/>
      <c r="G10" s="33">
        <f>C6</f>
        <v>75</v>
      </c>
      <c r="H10" s="33"/>
      <c r="I10" s="33"/>
    </row>
    <row r="11" spans="2:9" x14ac:dyDescent="0.35">
      <c r="B11" s="34" t="s">
        <v>11</v>
      </c>
      <c r="C11" s="33"/>
      <c r="D11" s="33"/>
      <c r="E11" s="33"/>
      <c r="F11" s="33"/>
      <c r="G11" s="33"/>
      <c r="H11" s="33">
        <f>-Principal!C13</f>
        <v>-5</v>
      </c>
      <c r="I11" s="33"/>
    </row>
    <row r="12" spans="2:9" x14ac:dyDescent="0.35">
      <c r="B12" s="34" t="s">
        <v>48</v>
      </c>
      <c r="C12" s="33"/>
      <c r="D12" s="33"/>
      <c r="E12" s="33"/>
      <c r="F12" s="33"/>
      <c r="G12" s="33"/>
      <c r="H12" s="33"/>
      <c r="I12" s="33">
        <f>+C5</f>
        <v>20</v>
      </c>
    </row>
    <row r="13" spans="2:9" x14ac:dyDescent="0.35">
      <c r="B13" s="39" t="s">
        <v>47</v>
      </c>
      <c r="C13" s="21">
        <f t="shared" ref="C13:I13" si="0">+SUM(C9:C12)</f>
        <v>-165</v>
      </c>
      <c r="D13" s="21">
        <f t="shared" si="0"/>
        <v>0</v>
      </c>
      <c r="E13" s="21">
        <f t="shared" si="0"/>
        <v>0</v>
      </c>
      <c r="F13" s="21">
        <f t="shared" si="0"/>
        <v>0</v>
      </c>
      <c r="G13" s="21">
        <f t="shared" si="0"/>
        <v>75</v>
      </c>
      <c r="H13" s="21">
        <f t="shared" si="0"/>
        <v>-5</v>
      </c>
      <c r="I13" s="21">
        <f t="shared" si="0"/>
        <v>20</v>
      </c>
    </row>
    <row r="14" spans="2:9" ht="15" thickBot="1" x14ac:dyDescent="0.4"/>
    <row r="15" spans="2:9" ht="16.8" thickBot="1" x14ac:dyDescent="0.4">
      <c r="B15" s="30" t="s">
        <v>46</v>
      </c>
      <c r="C15" s="29"/>
      <c r="D15" s="29"/>
      <c r="E15" s="29"/>
      <c r="F15" s="29"/>
      <c r="G15" s="29"/>
      <c r="H15" s="29"/>
      <c r="I15" s="28"/>
    </row>
    <row r="17" spans="2:11" x14ac:dyDescent="0.35">
      <c r="B17" s="1" t="s">
        <v>45</v>
      </c>
      <c r="C17" s="44">
        <f>+Principal!F15</f>
        <v>850000</v>
      </c>
    </row>
    <row r="20" spans="2:11" x14ac:dyDescent="0.35">
      <c r="B20" s="27"/>
      <c r="C20" s="27">
        <v>0</v>
      </c>
      <c r="D20" s="27">
        <v>1</v>
      </c>
      <c r="E20" s="27">
        <v>2</v>
      </c>
      <c r="F20" s="27">
        <v>3</v>
      </c>
      <c r="G20" s="27">
        <v>4</v>
      </c>
    </row>
    <row r="21" spans="2:11" x14ac:dyDescent="0.35">
      <c r="B21" s="39" t="s">
        <v>44</v>
      </c>
      <c r="C21" s="21"/>
      <c r="D21" s="43">
        <f>+Principal!$F$9</f>
        <v>0.25</v>
      </c>
      <c r="E21" s="43">
        <f>+Principal!$F$10</f>
        <v>0.25</v>
      </c>
      <c r="F21" s="43">
        <f>+Principal!$F$11</f>
        <v>0.25</v>
      </c>
      <c r="G21" s="43">
        <f>+Principal!$F$12</f>
        <v>0.25</v>
      </c>
    </row>
    <row r="22" spans="2:11" x14ac:dyDescent="0.35">
      <c r="B22" s="39" t="s">
        <v>43</v>
      </c>
      <c r="C22" s="21"/>
      <c r="D22" s="21">
        <f>+D21*$C$17</f>
        <v>212500</v>
      </c>
      <c r="E22" s="21">
        <f>+E21*$C$17</f>
        <v>212500</v>
      </c>
      <c r="F22" s="21">
        <f>+F21*$C$17</f>
        <v>212500</v>
      </c>
      <c r="G22" s="21">
        <f>+G21*$C$17</f>
        <v>212500</v>
      </c>
      <c r="H22" s="42"/>
    </row>
    <row r="23" spans="2:11" ht="15" thickBot="1" x14ac:dyDescent="0.4"/>
    <row r="24" spans="2:11" ht="16.8" thickBot="1" x14ac:dyDescent="0.4">
      <c r="B24" s="30" t="s">
        <v>42</v>
      </c>
      <c r="C24" s="29"/>
      <c r="D24" s="29"/>
      <c r="E24" s="29"/>
      <c r="F24" s="29"/>
      <c r="G24" s="29"/>
      <c r="H24" s="29"/>
      <c r="I24" s="28"/>
    </row>
    <row r="25" spans="2:11" x14ac:dyDescent="0.35">
      <c r="B25" s="3"/>
      <c r="C25" s="2"/>
      <c r="D25" s="2"/>
      <c r="E25" s="2"/>
      <c r="F25" s="2"/>
      <c r="G25" s="2"/>
      <c r="H25" s="2"/>
      <c r="I25" s="2"/>
      <c r="K25" s="41"/>
    </row>
    <row r="26" spans="2:11" x14ac:dyDescent="0.35">
      <c r="B26" s="27" t="s">
        <v>41</v>
      </c>
      <c r="C26" s="27">
        <v>0</v>
      </c>
      <c r="D26" s="27">
        <v>1</v>
      </c>
      <c r="E26" s="27">
        <v>2</v>
      </c>
      <c r="F26" s="27">
        <v>3</v>
      </c>
      <c r="G26" s="27">
        <v>4</v>
      </c>
    </row>
    <row r="27" spans="2:11" x14ac:dyDescent="0.35">
      <c r="B27" s="39" t="s">
        <v>40</v>
      </c>
      <c r="C27" s="40">
        <f>+Principal!$F$7</f>
        <v>4550</v>
      </c>
      <c r="D27" s="40">
        <f>+Principal!$F$7</f>
        <v>4550</v>
      </c>
      <c r="E27" s="40">
        <f>+Principal!$F$7</f>
        <v>4550</v>
      </c>
      <c r="F27" s="40">
        <f>+Principal!$F$7</f>
        <v>4550</v>
      </c>
      <c r="G27" s="40">
        <f>+Principal!$F$7</f>
        <v>4550</v>
      </c>
    </row>
    <row r="28" spans="2:11" x14ac:dyDescent="0.35">
      <c r="B28" s="39" t="s">
        <v>39</v>
      </c>
      <c r="C28" s="21"/>
      <c r="D28" s="21">
        <f>+D22*D27/1000000</f>
        <v>966.875</v>
      </c>
      <c r="E28" s="21">
        <f>+E22*E27/1000000</f>
        <v>966.875</v>
      </c>
      <c r="F28" s="21">
        <f>+F22*F27/1000000</f>
        <v>966.875</v>
      </c>
      <c r="G28" s="21">
        <f>+G22*G27/1000000</f>
        <v>966.875</v>
      </c>
    </row>
    <row r="29" spans="2:11" ht="15" thickBot="1" x14ac:dyDescent="0.4">
      <c r="D29" s="38"/>
      <c r="E29" s="37"/>
      <c r="F29" s="37"/>
      <c r="G29" s="37"/>
    </row>
    <row r="30" spans="2:11" ht="16.8" thickBot="1" x14ac:dyDescent="0.4">
      <c r="B30" s="30" t="s">
        <v>38</v>
      </c>
      <c r="C30" s="29"/>
      <c r="D30" s="29"/>
      <c r="E30" s="29"/>
      <c r="F30" s="29"/>
      <c r="G30" s="29"/>
      <c r="H30" s="29"/>
      <c r="I30" s="28"/>
    </row>
    <row r="31" spans="2:11" x14ac:dyDescent="0.35">
      <c r="B31" s="3"/>
      <c r="C31" s="2"/>
      <c r="D31" s="2"/>
      <c r="E31" s="2"/>
      <c r="F31" s="2"/>
      <c r="G31" s="2"/>
      <c r="H31" s="2"/>
      <c r="I31" s="2"/>
    </row>
    <row r="32" spans="2:11" x14ac:dyDescent="0.35">
      <c r="D32" s="36"/>
    </row>
    <row r="33" spans="2:9" x14ac:dyDescent="0.35">
      <c r="B33" s="27" t="s">
        <v>37</v>
      </c>
      <c r="C33" s="27">
        <v>0</v>
      </c>
      <c r="D33" s="27">
        <v>1</v>
      </c>
      <c r="E33" s="27">
        <v>2</v>
      </c>
      <c r="F33" s="27">
        <v>3</v>
      </c>
      <c r="G33" s="27">
        <v>4</v>
      </c>
    </row>
    <row r="34" spans="2:9" x14ac:dyDescent="0.35">
      <c r="B34" s="32" t="s">
        <v>4</v>
      </c>
      <c r="C34" s="31"/>
      <c r="D34" s="35">
        <f>+Principal!$F$18</f>
        <v>1980</v>
      </c>
      <c r="E34" s="35">
        <f>+Principal!$F$18</f>
        <v>1980</v>
      </c>
      <c r="F34" s="35">
        <f>+Principal!$F$18</f>
        <v>1980</v>
      </c>
      <c r="G34" s="35">
        <f>+Principal!$F$18</f>
        <v>1980</v>
      </c>
    </row>
    <row r="36" spans="2:9" x14ac:dyDescent="0.35">
      <c r="B36" s="27" t="s">
        <v>37</v>
      </c>
      <c r="C36" s="27">
        <v>0</v>
      </c>
      <c r="D36" s="27">
        <v>1</v>
      </c>
      <c r="E36" s="27">
        <v>2</v>
      </c>
      <c r="F36" s="27">
        <v>3</v>
      </c>
      <c r="G36" s="27">
        <v>4</v>
      </c>
    </row>
    <row r="37" spans="2:9" x14ac:dyDescent="0.35">
      <c r="B37" s="34" t="s">
        <v>34</v>
      </c>
      <c r="C37" s="33"/>
      <c r="D37" s="33">
        <f>+D22*D34/1000000</f>
        <v>420.75</v>
      </c>
      <c r="E37" s="33">
        <f>+E22*E34/1000000</f>
        <v>420.75</v>
      </c>
      <c r="F37" s="33">
        <f>+F22*F34/1000000</f>
        <v>420.75</v>
      </c>
      <c r="G37" s="33">
        <f>+G22*G34/1000000</f>
        <v>420.75</v>
      </c>
    </row>
    <row r="38" spans="2:9" x14ac:dyDescent="0.35">
      <c r="B38" s="32" t="s">
        <v>33</v>
      </c>
      <c r="C38" s="31"/>
      <c r="D38" s="31">
        <f>+Principal!$F$19</f>
        <v>500</v>
      </c>
      <c r="E38" s="31">
        <f>+Principal!$F$19</f>
        <v>500</v>
      </c>
      <c r="F38" s="31">
        <f>+Principal!$F$19</f>
        <v>500</v>
      </c>
      <c r="G38" s="31">
        <f>+Principal!$F$19</f>
        <v>500</v>
      </c>
    </row>
    <row r="40" spans="2:9" ht="15" thickBot="1" x14ac:dyDescent="0.4"/>
    <row r="41" spans="2:9" ht="16.8" thickBot="1" x14ac:dyDescent="0.4">
      <c r="B41" s="30" t="s">
        <v>36</v>
      </c>
      <c r="C41" s="29"/>
      <c r="D41" s="29"/>
      <c r="E41" s="29"/>
      <c r="F41" s="29"/>
      <c r="G41" s="29"/>
      <c r="H41" s="29"/>
      <c r="I41" s="28"/>
    </row>
    <row r="43" spans="2:9" x14ac:dyDescent="0.35">
      <c r="B43" s="27"/>
      <c r="C43" s="27">
        <v>0</v>
      </c>
      <c r="D43" s="27">
        <v>1</v>
      </c>
      <c r="E43" s="27">
        <v>2</v>
      </c>
      <c r="F43" s="27">
        <v>3</v>
      </c>
      <c r="G43" s="27">
        <v>4</v>
      </c>
      <c r="H43" s="27">
        <v>5</v>
      </c>
      <c r="I43" s="27">
        <v>6</v>
      </c>
    </row>
    <row r="44" spans="2:9" x14ac:dyDescent="0.35">
      <c r="B44" s="26" t="s">
        <v>35</v>
      </c>
      <c r="C44" s="25"/>
      <c r="D44" s="25">
        <f>+D28</f>
        <v>966.875</v>
      </c>
      <c r="E44" s="25">
        <f>+E28</f>
        <v>966.875</v>
      </c>
      <c r="F44" s="25">
        <f>+F28</f>
        <v>966.875</v>
      </c>
      <c r="G44" s="25">
        <f>+G28</f>
        <v>966.875</v>
      </c>
      <c r="H44" s="25"/>
      <c r="I44" s="25"/>
    </row>
    <row r="45" spans="2:9" x14ac:dyDescent="0.35">
      <c r="B45" s="24" t="s">
        <v>34</v>
      </c>
      <c r="C45" s="23"/>
      <c r="D45" s="23">
        <f t="shared" ref="D45:G46" si="1">-D37</f>
        <v>-420.75</v>
      </c>
      <c r="E45" s="23">
        <f t="shared" si="1"/>
        <v>-420.75</v>
      </c>
      <c r="F45" s="23">
        <f t="shared" si="1"/>
        <v>-420.75</v>
      </c>
      <c r="G45" s="23">
        <f t="shared" si="1"/>
        <v>-420.75</v>
      </c>
      <c r="H45" s="23"/>
      <c r="I45" s="23"/>
    </row>
    <row r="46" spans="2:9" x14ac:dyDescent="0.35">
      <c r="B46" s="24" t="s">
        <v>33</v>
      </c>
      <c r="C46" s="23"/>
      <c r="D46" s="23">
        <f t="shared" si="1"/>
        <v>-500</v>
      </c>
      <c r="E46" s="23">
        <f t="shared" si="1"/>
        <v>-500</v>
      </c>
      <c r="F46" s="23">
        <f t="shared" si="1"/>
        <v>-500</v>
      </c>
      <c r="G46" s="23">
        <f t="shared" si="1"/>
        <v>-500</v>
      </c>
      <c r="H46" s="23"/>
      <c r="I46" s="23"/>
    </row>
    <row r="47" spans="2:9" x14ac:dyDescent="0.35">
      <c r="B47" s="22" t="s">
        <v>31</v>
      </c>
      <c r="C47" s="21"/>
      <c r="D47" s="21">
        <f t="shared" ref="D47:I47" si="2">+SUM(D44:D46)</f>
        <v>46.125</v>
      </c>
      <c r="E47" s="21">
        <f t="shared" si="2"/>
        <v>46.125</v>
      </c>
      <c r="F47" s="21">
        <f t="shared" si="2"/>
        <v>46.125</v>
      </c>
      <c r="G47" s="21">
        <f t="shared" si="2"/>
        <v>46.125</v>
      </c>
      <c r="H47" s="21">
        <f t="shared" si="2"/>
        <v>0</v>
      </c>
      <c r="I47" s="21">
        <f t="shared" si="2"/>
        <v>0</v>
      </c>
    </row>
    <row r="49" spans="2:9" ht="15" thickBot="1" x14ac:dyDescent="0.4"/>
    <row r="50" spans="2:9" ht="16.8" thickBot="1" x14ac:dyDescent="0.4">
      <c r="B50" s="30" t="s">
        <v>32</v>
      </c>
      <c r="C50" s="29"/>
      <c r="D50" s="29"/>
      <c r="E50" s="29"/>
      <c r="F50" s="29"/>
      <c r="G50" s="29"/>
      <c r="H50" s="29"/>
      <c r="I50" s="28"/>
    </row>
    <row r="52" spans="2:9" x14ac:dyDescent="0.35">
      <c r="B52" s="27"/>
      <c r="C52" s="27">
        <v>0</v>
      </c>
      <c r="D52" s="27">
        <v>1</v>
      </c>
      <c r="E52" s="27">
        <v>2</v>
      </c>
      <c r="F52" s="27">
        <v>3</v>
      </c>
      <c r="G52" s="27">
        <v>4</v>
      </c>
      <c r="H52" s="27">
        <v>5</v>
      </c>
      <c r="I52" s="27">
        <v>6</v>
      </c>
    </row>
    <row r="53" spans="2:9" x14ac:dyDescent="0.35">
      <c r="B53" s="26" t="s">
        <v>31</v>
      </c>
      <c r="C53" s="25"/>
      <c r="D53" s="25">
        <f t="shared" ref="D53:I53" si="3">+D47</f>
        <v>46.125</v>
      </c>
      <c r="E53" s="25">
        <f t="shared" si="3"/>
        <v>46.125</v>
      </c>
      <c r="F53" s="25">
        <f t="shared" si="3"/>
        <v>46.125</v>
      </c>
      <c r="G53" s="25">
        <f t="shared" si="3"/>
        <v>46.125</v>
      </c>
      <c r="H53" s="25">
        <f t="shared" si="3"/>
        <v>0</v>
      </c>
      <c r="I53" s="25">
        <f t="shared" si="3"/>
        <v>0</v>
      </c>
    </row>
    <row r="54" spans="2:9" x14ac:dyDescent="0.35">
      <c r="B54" s="24" t="str">
        <f t="shared" ref="B54:I54" si="4">+B13</f>
        <v>F. Inversiones</v>
      </c>
      <c r="C54" s="23">
        <f t="shared" si="4"/>
        <v>-165</v>
      </c>
      <c r="D54" s="23">
        <f t="shared" si="4"/>
        <v>0</v>
      </c>
      <c r="E54" s="23">
        <f t="shared" si="4"/>
        <v>0</v>
      </c>
      <c r="F54" s="23">
        <f t="shared" si="4"/>
        <v>0</v>
      </c>
      <c r="G54" s="23">
        <f t="shared" si="4"/>
        <v>75</v>
      </c>
      <c r="H54" s="23">
        <f t="shared" si="4"/>
        <v>-5</v>
      </c>
      <c r="I54" s="23">
        <f t="shared" si="4"/>
        <v>20</v>
      </c>
    </row>
    <row r="55" spans="2:9" x14ac:dyDescent="0.35">
      <c r="B55" s="22" t="s">
        <v>30</v>
      </c>
      <c r="C55" s="21">
        <f t="shared" ref="C55:I55" si="5">+C54+C53</f>
        <v>-165</v>
      </c>
      <c r="D55" s="21">
        <f t="shared" si="5"/>
        <v>46.125</v>
      </c>
      <c r="E55" s="21">
        <f t="shared" si="5"/>
        <v>46.125</v>
      </c>
      <c r="F55" s="21">
        <f t="shared" si="5"/>
        <v>46.125</v>
      </c>
      <c r="G55" s="21">
        <f t="shared" si="5"/>
        <v>121.125</v>
      </c>
      <c r="H55" s="21">
        <f t="shared" si="5"/>
        <v>-5</v>
      </c>
      <c r="I55" s="21">
        <f t="shared" si="5"/>
        <v>20</v>
      </c>
    </row>
  </sheetData>
  <conditionalFormatting sqref="C17 D32">
    <cfRule type="expression" dxfId="5" priority="1" stopIfTrue="1">
      <formula>RiskColorCellsSimOutput</formula>
    </cfRule>
    <cfRule type="expression" dxfId="4" priority="2" stopIfTrue="1">
      <formula>RiskColorCellsSimInput</formula>
    </cfRule>
    <cfRule type="expression" dxfId="3" priority="3" stopIfTrue="1">
      <formula>RiskColorCellsSimStatistics</formula>
    </cfRule>
  </conditionalFormatting>
  <pageMargins left="0.75" right="0.75" top="1" bottom="1" header="0" footer="0"/>
  <pageSetup paperSize="8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2FB7-5D46-4E9F-A0FB-224C3A09E5F0}">
  <dimension ref="B1:M59"/>
  <sheetViews>
    <sheetView showGridLines="0" zoomScaleNormal="100" workbookViewId="0">
      <selection activeCell="E4" sqref="E4"/>
    </sheetView>
  </sheetViews>
  <sheetFormatPr baseColWidth="10" defaultRowHeight="14.4" x14ac:dyDescent="0.35"/>
  <cols>
    <col min="1" max="1" width="11.5546875" style="1"/>
    <col min="2" max="2" width="22.88671875" style="1" customWidth="1"/>
    <col min="3" max="3" width="15.33203125" style="1" bestFit="1" customWidth="1"/>
    <col min="4" max="5" width="15.33203125" style="1" customWidth="1"/>
    <col min="6" max="6" width="14.88671875" style="1" bestFit="1" customWidth="1"/>
    <col min="7" max="7" width="14.33203125" style="1" bestFit="1" customWidth="1"/>
    <col min="8" max="8" width="14.6640625" style="1" bestFit="1" customWidth="1"/>
    <col min="9" max="9" width="14" style="1" bestFit="1" customWidth="1"/>
    <col min="10" max="10" width="13.5546875" style="1" bestFit="1" customWidth="1"/>
    <col min="11" max="11" width="13.44140625" style="1" bestFit="1" customWidth="1"/>
    <col min="12" max="12" width="13.88671875" style="1" bestFit="1" customWidth="1"/>
    <col min="13" max="13" width="13.5546875" style="1" bestFit="1" customWidth="1"/>
    <col min="14" max="14" width="13.44140625" style="1" bestFit="1" customWidth="1"/>
    <col min="15" max="16384" width="11.5546875" style="1"/>
  </cols>
  <sheetData>
    <row r="1" spans="2:11" ht="15" thickBot="1" x14ac:dyDescent="0.4"/>
    <row r="2" spans="2:11" ht="16.8" thickBot="1" x14ac:dyDescent="0.4">
      <c r="B2" s="30" t="s">
        <v>53</v>
      </c>
      <c r="C2" s="29"/>
      <c r="D2" s="29"/>
      <c r="E2" s="29"/>
      <c r="F2" s="29"/>
      <c r="G2" s="29"/>
      <c r="H2" s="29"/>
      <c r="I2" s="29"/>
      <c r="J2" s="29"/>
      <c r="K2" s="28"/>
    </row>
    <row r="3" spans="2:11" x14ac:dyDescent="0.35">
      <c r="B3" s="3"/>
      <c r="C3" s="2"/>
      <c r="D3" s="2"/>
      <c r="E3" s="2"/>
      <c r="F3" s="2"/>
      <c r="G3" s="2"/>
      <c r="H3" s="2"/>
      <c r="I3" s="2"/>
      <c r="J3" s="2"/>
      <c r="K3" s="2"/>
    </row>
    <row r="4" spans="2:11" x14ac:dyDescent="0.35">
      <c r="B4" s="55" t="s">
        <v>52</v>
      </c>
      <c r="C4" s="56" t="s">
        <v>51</v>
      </c>
      <c r="D4" s="52"/>
      <c r="E4" s="52"/>
      <c r="F4" s="2"/>
      <c r="G4" s="2"/>
      <c r="H4" s="2"/>
      <c r="I4" s="2"/>
      <c r="J4" s="2"/>
      <c r="K4" s="2"/>
    </row>
    <row r="5" spans="2:11" x14ac:dyDescent="0.35">
      <c r="B5" s="48" t="s">
        <v>18</v>
      </c>
      <c r="C5" s="47">
        <f>+Principal!C17</f>
        <v>20</v>
      </c>
      <c r="D5" s="51"/>
      <c r="E5" s="51"/>
      <c r="F5" s="2"/>
      <c r="G5" s="2"/>
      <c r="H5" s="2"/>
      <c r="I5" s="2"/>
      <c r="J5" s="2"/>
      <c r="K5" s="2"/>
    </row>
    <row r="6" spans="2:11" x14ac:dyDescent="0.35">
      <c r="B6" s="48" t="s">
        <v>16</v>
      </c>
      <c r="C6" s="47">
        <f>+Principal!C16</f>
        <v>75</v>
      </c>
      <c r="D6" s="51"/>
      <c r="E6" s="51"/>
      <c r="F6" s="2"/>
      <c r="G6" s="2"/>
      <c r="H6" s="2"/>
      <c r="I6" s="2"/>
      <c r="J6" s="2"/>
      <c r="K6" s="2"/>
    </row>
    <row r="8" spans="2:11" x14ac:dyDescent="0.35">
      <c r="B8" s="27" t="s">
        <v>50</v>
      </c>
      <c r="C8" s="27">
        <v>0</v>
      </c>
      <c r="D8" s="27">
        <v>1</v>
      </c>
      <c r="E8" s="27">
        <v>2</v>
      </c>
      <c r="F8" s="27">
        <v>3</v>
      </c>
      <c r="G8" s="27">
        <v>4</v>
      </c>
      <c r="H8" s="27">
        <v>5</v>
      </c>
      <c r="I8" s="27">
        <v>6</v>
      </c>
      <c r="J8" s="27">
        <v>7</v>
      </c>
      <c r="K8" s="27">
        <v>8</v>
      </c>
    </row>
    <row r="9" spans="2:11" x14ac:dyDescent="0.35">
      <c r="B9" s="46" t="s">
        <v>18</v>
      </c>
      <c r="C9" s="45">
        <f>-Principal!C10</f>
        <v>-15</v>
      </c>
      <c r="D9" s="45"/>
      <c r="E9" s="45"/>
      <c r="F9" s="45"/>
      <c r="G9" s="45"/>
      <c r="H9" s="45"/>
      <c r="I9" s="45"/>
      <c r="J9" s="45"/>
      <c r="K9" s="45"/>
    </row>
    <row r="10" spans="2:11" x14ac:dyDescent="0.35">
      <c r="B10" s="34" t="s">
        <v>49</v>
      </c>
      <c r="C10" s="33"/>
      <c r="D10" s="33"/>
      <c r="E10" s="33">
        <f>+-Principal!C11</f>
        <v>-150</v>
      </c>
      <c r="F10" s="33"/>
      <c r="G10" s="33"/>
      <c r="H10" s="33"/>
      <c r="I10" s="33">
        <f>C6</f>
        <v>75</v>
      </c>
      <c r="J10" s="33"/>
      <c r="K10" s="33"/>
    </row>
    <row r="11" spans="2:11" x14ac:dyDescent="0.35">
      <c r="B11" s="34" t="s">
        <v>54</v>
      </c>
      <c r="C11" s="33"/>
      <c r="D11" s="33">
        <f>-Principal!C20</f>
        <v>-10</v>
      </c>
      <c r="E11" s="33">
        <f>-Principal!C21</f>
        <v>-10</v>
      </c>
      <c r="F11" s="33"/>
      <c r="G11" s="33"/>
      <c r="H11" s="33"/>
      <c r="I11" s="33"/>
      <c r="J11" s="33"/>
      <c r="K11" s="33"/>
    </row>
    <row r="12" spans="2:11" x14ac:dyDescent="0.35">
      <c r="B12" s="34" t="s">
        <v>11</v>
      </c>
      <c r="C12" s="33"/>
      <c r="D12" s="33"/>
      <c r="E12" s="33"/>
      <c r="F12" s="33"/>
      <c r="G12" s="33"/>
      <c r="H12" s="33"/>
      <c r="I12" s="33"/>
      <c r="J12" s="33">
        <f>-Principal!C13</f>
        <v>-5</v>
      </c>
      <c r="K12" s="33"/>
    </row>
    <row r="13" spans="2:11" x14ac:dyDescent="0.35">
      <c r="B13" s="34" t="s">
        <v>48</v>
      </c>
      <c r="C13" s="33"/>
      <c r="D13" s="33"/>
      <c r="E13" s="33"/>
      <c r="F13" s="33"/>
      <c r="G13" s="33"/>
      <c r="H13" s="33"/>
      <c r="I13" s="33"/>
      <c r="J13" s="33"/>
      <c r="K13" s="33">
        <f>+C5</f>
        <v>20</v>
      </c>
    </row>
    <row r="14" spans="2:11" x14ac:dyDescent="0.35">
      <c r="B14" s="39" t="s">
        <v>47</v>
      </c>
      <c r="C14" s="21">
        <f t="shared" ref="C14:K14" si="0">+SUM(C9:C13)</f>
        <v>-15</v>
      </c>
      <c r="D14" s="21">
        <f t="shared" si="0"/>
        <v>-10</v>
      </c>
      <c r="E14" s="21">
        <f t="shared" si="0"/>
        <v>-160</v>
      </c>
      <c r="F14" s="21">
        <f t="shared" si="0"/>
        <v>0</v>
      </c>
      <c r="G14" s="21">
        <f t="shared" si="0"/>
        <v>0</v>
      </c>
      <c r="H14" s="21">
        <f t="shared" si="0"/>
        <v>0</v>
      </c>
      <c r="I14" s="21">
        <f t="shared" si="0"/>
        <v>75</v>
      </c>
      <c r="J14" s="21">
        <f t="shared" si="0"/>
        <v>-5</v>
      </c>
      <c r="K14" s="21">
        <f t="shared" si="0"/>
        <v>20</v>
      </c>
    </row>
    <row r="15" spans="2:11" ht="15" thickBot="1" x14ac:dyDescent="0.4"/>
    <row r="16" spans="2:11" ht="16.8" thickBot="1" x14ac:dyDescent="0.4">
      <c r="B16" s="30" t="s">
        <v>46</v>
      </c>
      <c r="C16" s="29"/>
      <c r="D16" s="29"/>
      <c r="E16" s="29"/>
      <c r="F16" s="29"/>
      <c r="G16" s="29"/>
      <c r="H16" s="29"/>
      <c r="I16" s="29"/>
      <c r="J16" s="29"/>
      <c r="K16" s="28"/>
    </row>
    <row r="18" spans="2:13" x14ac:dyDescent="0.35">
      <c r="B18" s="1" t="s">
        <v>45</v>
      </c>
      <c r="C18" s="44">
        <f>+Principal!F15</f>
        <v>850000</v>
      </c>
      <c r="D18" s="50"/>
      <c r="E18" s="50"/>
    </row>
    <row r="21" spans="2:13" x14ac:dyDescent="0.35">
      <c r="B21" s="27"/>
      <c r="C21" s="27">
        <v>0</v>
      </c>
      <c r="D21" s="27">
        <v>1</v>
      </c>
      <c r="E21" s="27">
        <v>2</v>
      </c>
      <c r="F21" s="27">
        <v>3</v>
      </c>
      <c r="G21" s="27">
        <v>4</v>
      </c>
      <c r="H21" s="27">
        <v>5</v>
      </c>
      <c r="I21" s="27">
        <v>6</v>
      </c>
    </row>
    <row r="22" spans="2:13" x14ac:dyDescent="0.35">
      <c r="B22" s="39" t="s">
        <v>44</v>
      </c>
      <c r="C22" s="21"/>
      <c r="D22" s="21"/>
      <c r="E22" s="21"/>
      <c r="F22" s="43">
        <f>+Principal!$F$9</f>
        <v>0.25</v>
      </c>
      <c r="G22" s="43">
        <f>+Principal!$F$10</f>
        <v>0.25</v>
      </c>
      <c r="H22" s="43">
        <f>+Principal!$F$11</f>
        <v>0.25</v>
      </c>
      <c r="I22" s="43">
        <f>+Principal!$F$12</f>
        <v>0.25</v>
      </c>
    </row>
    <row r="23" spans="2:13" x14ac:dyDescent="0.35">
      <c r="B23" s="39" t="s">
        <v>43</v>
      </c>
      <c r="C23" s="21"/>
      <c r="D23" s="21"/>
      <c r="E23" s="21"/>
      <c r="F23" s="21">
        <f>+F22*$C$18</f>
        <v>212500</v>
      </c>
      <c r="G23" s="21">
        <f>+G22*$C$18</f>
        <v>212500</v>
      </c>
      <c r="H23" s="21">
        <f>+H22*$C$18</f>
        <v>212500</v>
      </c>
      <c r="I23" s="21">
        <f>+I22*$C$18</f>
        <v>212500</v>
      </c>
      <c r="J23" s="42"/>
    </row>
    <row r="24" spans="2:13" ht="15" thickBot="1" x14ac:dyDescent="0.4"/>
    <row r="25" spans="2:13" ht="16.8" thickBot="1" x14ac:dyDescent="0.4">
      <c r="B25" s="30" t="s">
        <v>42</v>
      </c>
      <c r="C25" s="29"/>
      <c r="D25" s="29"/>
      <c r="E25" s="29"/>
      <c r="F25" s="29"/>
      <c r="G25" s="29"/>
      <c r="H25" s="29"/>
      <c r="I25" s="29"/>
      <c r="J25" s="29"/>
      <c r="K25" s="28"/>
    </row>
    <row r="26" spans="2:13" x14ac:dyDescent="0.35">
      <c r="B26" s="3"/>
      <c r="C26" s="2"/>
      <c r="D26" s="2"/>
      <c r="E26" s="2"/>
      <c r="F26" s="2"/>
      <c r="G26" s="2"/>
      <c r="H26" s="2"/>
      <c r="I26" s="2"/>
      <c r="J26" s="2"/>
      <c r="K26" s="2"/>
      <c r="M26" s="41"/>
    </row>
    <row r="27" spans="2:13" x14ac:dyDescent="0.35">
      <c r="B27" s="27" t="s">
        <v>41</v>
      </c>
      <c r="C27" s="27">
        <v>0</v>
      </c>
      <c r="D27" s="27">
        <v>1</v>
      </c>
      <c r="E27" s="27">
        <v>2</v>
      </c>
      <c r="F27" s="27">
        <v>3</v>
      </c>
      <c r="G27" s="27">
        <v>4</v>
      </c>
      <c r="H27" s="27">
        <v>5</v>
      </c>
      <c r="I27" s="27">
        <v>6</v>
      </c>
    </row>
    <row r="28" spans="2:13" x14ac:dyDescent="0.35">
      <c r="B28" s="39" t="s">
        <v>40</v>
      </c>
      <c r="C28" s="40">
        <f>+Principal!$F$7</f>
        <v>4550</v>
      </c>
      <c r="D28" s="40">
        <f>+Principal!$F$7</f>
        <v>4550</v>
      </c>
      <c r="E28" s="40">
        <f>+Principal!$F$7</f>
        <v>4550</v>
      </c>
      <c r="F28" s="40">
        <f>+Principal!$F$7</f>
        <v>4550</v>
      </c>
      <c r="G28" s="40">
        <f>+Principal!$F$7</f>
        <v>4550</v>
      </c>
      <c r="H28" s="40">
        <f>+Principal!$F$7</f>
        <v>4550</v>
      </c>
      <c r="I28" s="40">
        <f>+Principal!$F$7</f>
        <v>4550</v>
      </c>
    </row>
    <row r="29" spans="2:13" x14ac:dyDescent="0.35">
      <c r="B29" s="39" t="s">
        <v>39</v>
      </c>
      <c r="C29" s="21"/>
      <c r="D29" s="21"/>
      <c r="E29" s="21"/>
      <c r="F29" s="21">
        <f>+F23*F28/1000000</f>
        <v>966.875</v>
      </c>
      <c r="G29" s="21">
        <f>+G23*G28/1000000</f>
        <v>966.875</v>
      </c>
      <c r="H29" s="21">
        <f>+H23*H28/1000000</f>
        <v>966.875</v>
      </c>
      <c r="I29" s="21">
        <f>+I23*I28/1000000</f>
        <v>966.875</v>
      </c>
    </row>
    <row r="30" spans="2:13" ht="15" thickBot="1" x14ac:dyDescent="0.4">
      <c r="F30" s="38"/>
      <c r="G30" s="37"/>
      <c r="H30" s="37"/>
      <c r="I30" s="37"/>
    </row>
    <row r="31" spans="2:13" ht="16.8" thickBot="1" x14ac:dyDescent="0.4">
      <c r="B31" s="30" t="s">
        <v>38</v>
      </c>
      <c r="C31" s="29"/>
      <c r="D31" s="29"/>
      <c r="E31" s="29"/>
      <c r="F31" s="29"/>
      <c r="G31" s="29"/>
      <c r="H31" s="29"/>
      <c r="I31" s="29"/>
      <c r="J31" s="29"/>
      <c r="K31" s="28"/>
    </row>
    <row r="32" spans="2:13" x14ac:dyDescent="0.35">
      <c r="B32" s="3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5">
      <c r="F33" s="36"/>
    </row>
    <row r="34" spans="2:11" x14ac:dyDescent="0.35">
      <c r="B34" s="27" t="s">
        <v>37</v>
      </c>
      <c r="C34" s="27">
        <v>0</v>
      </c>
      <c r="D34" s="27">
        <v>1</v>
      </c>
      <c r="E34" s="27">
        <v>2</v>
      </c>
      <c r="F34" s="27">
        <v>3</v>
      </c>
      <c r="G34" s="27">
        <v>4</v>
      </c>
      <c r="H34" s="27">
        <v>5</v>
      </c>
      <c r="I34" s="27">
        <v>6</v>
      </c>
    </row>
    <row r="35" spans="2:11" x14ac:dyDescent="0.35">
      <c r="B35" s="32" t="s">
        <v>4</v>
      </c>
      <c r="C35" s="31"/>
      <c r="D35" s="31"/>
      <c r="E35" s="31"/>
      <c r="F35" s="35">
        <f>+Principal!$F$18</f>
        <v>1980</v>
      </c>
      <c r="G35" s="35">
        <f>+Principal!$F$18</f>
        <v>1980</v>
      </c>
      <c r="H35" s="35">
        <f>+Principal!$F$18</f>
        <v>1980</v>
      </c>
      <c r="I35" s="35">
        <f>+Principal!$F$18</f>
        <v>1980</v>
      </c>
    </row>
    <row r="37" spans="2:11" x14ac:dyDescent="0.35">
      <c r="B37" s="27" t="s">
        <v>37</v>
      </c>
      <c r="C37" s="27">
        <v>0</v>
      </c>
      <c r="D37" s="27">
        <v>1</v>
      </c>
      <c r="E37" s="27">
        <v>2</v>
      </c>
      <c r="F37" s="27">
        <v>3</v>
      </c>
      <c r="G37" s="27">
        <v>4</v>
      </c>
      <c r="H37" s="27">
        <v>5</v>
      </c>
      <c r="I37" s="27">
        <v>6</v>
      </c>
    </row>
    <row r="38" spans="2:11" x14ac:dyDescent="0.35">
      <c r="B38" s="34" t="s">
        <v>34</v>
      </c>
      <c r="C38" s="33"/>
      <c r="D38" s="33"/>
      <c r="E38" s="33"/>
      <c r="F38" s="33">
        <f>+F23*F35/1000000</f>
        <v>420.75</v>
      </c>
      <c r="G38" s="33">
        <f>+G23*G35/1000000</f>
        <v>420.75</v>
      </c>
      <c r="H38" s="33">
        <f>+H23*H35/1000000</f>
        <v>420.75</v>
      </c>
      <c r="I38" s="33">
        <f>+I23*I35/1000000</f>
        <v>420.75</v>
      </c>
    </row>
    <row r="39" spans="2:11" x14ac:dyDescent="0.35">
      <c r="B39" s="32" t="s">
        <v>33</v>
      </c>
      <c r="C39" s="31"/>
      <c r="D39" s="31"/>
      <c r="E39" s="31"/>
      <c r="F39" s="31">
        <f>+Principal!$F$19</f>
        <v>500</v>
      </c>
      <c r="G39" s="31">
        <f>+Principal!$F$19</f>
        <v>500</v>
      </c>
      <c r="H39" s="31">
        <f>+Principal!$F$19</f>
        <v>500</v>
      </c>
      <c r="I39" s="31">
        <f>+Principal!$F$19</f>
        <v>500</v>
      </c>
    </row>
    <row r="41" spans="2:11" ht="15" thickBot="1" x14ac:dyDescent="0.4"/>
    <row r="42" spans="2:11" ht="16.8" thickBot="1" x14ac:dyDescent="0.4">
      <c r="B42" s="30" t="s">
        <v>36</v>
      </c>
      <c r="C42" s="29"/>
      <c r="D42" s="29"/>
      <c r="E42" s="29"/>
      <c r="F42" s="29"/>
      <c r="G42" s="29"/>
      <c r="H42" s="29"/>
      <c r="I42" s="29"/>
      <c r="J42" s="29"/>
      <c r="K42" s="28"/>
    </row>
    <row r="44" spans="2:11" x14ac:dyDescent="0.35">
      <c r="B44" s="27"/>
      <c r="C44" s="27">
        <v>0</v>
      </c>
      <c r="D44" s="27">
        <v>1</v>
      </c>
      <c r="E44" s="27">
        <v>2</v>
      </c>
      <c r="F44" s="27">
        <v>3</v>
      </c>
      <c r="G44" s="27">
        <v>4</v>
      </c>
      <c r="H44" s="27">
        <v>5</v>
      </c>
      <c r="I44" s="27">
        <v>6</v>
      </c>
      <c r="J44" s="27">
        <v>7</v>
      </c>
      <c r="K44" s="27">
        <v>8</v>
      </c>
    </row>
    <row r="45" spans="2:11" x14ac:dyDescent="0.35">
      <c r="B45" s="26" t="s">
        <v>35</v>
      </c>
      <c r="C45" s="25"/>
      <c r="D45" s="25"/>
      <c r="E45" s="25"/>
      <c r="F45" s="25">
        <f>+F29</f>
        <v>966.875</v>
      </c>
      <c r="G45" s="25">
        <f>+G29</f>
        <v>966.875</v>
      </c>
      <c r="H45" s="25">
        <f>+H29</f>
        <v>966.875</v>
      </c>
      <c r="I45" s="25">
        <f>+I29</f>
        <v>966.875</v>
      </c>
      <c r="J45" s="25"/>
      <c r="K45" s="25"/>
    </row>
    <row r="46" spans="2:11" x14ac:dyDescent="0.35">
      <c r="B46" s="24" t="s">
        <v>34</v>
      </c>
      <c r="C46" s="23"/>
      <c r="D46" s="23"/>
      <c r="E46" s="23"/>
      <c r="F46" s="23">
        <f t="shared" ref="F46:I47" si="1">-F38</f>
        <v>-420.75</v>
      </c>
      <c r="G46" s="23">
        <f t="shared" si="1"/>
        <v>-420.75</v>
      </c>
      <c r="H46" s="23">
        <f t="shared" si="1"/>
        <v>-420.75</v>
      </c>
      <c r="I46" s="23">
        <f t="shared" si="1"/>
        <v>-420.75</v>
      </c>
      <c r="J46" s="23"/>
      <c r="K46" s="23"/>
    </row>
    <row r="47" spans="2:11" x14ac:dyDescent="0.35">
      <c r="B47" s="24" t="s">
        <v>33</v>
      </c>
      <c r="C47" s="23"/>
      <c r="D47" s="23"/>
      <c r="E47" s="23"/>
      <c r="F47" s="23">
        <f t="shared" si="1"/>
        <v>-500</v>
      </c>
      <c r="G47" s="23">
        <f t="shared" si="1"/>
        <v>-500</v>
      </c>
      <c r="H47" s="23">
        <f t="shared" si="1"/>
        <v>-500</v>
      </c>
      <c r="I47" s="23">
        <f t="shared" si="1"/>
        <v>-500</v>
      </c>
      <c r="J47" s="23"/>
      <c r="K47" s="23"/>
    </row>
    <row r="48" spans="2:11" x14ac:dyDescent="0.35">
      <c r="B48" s="22" t="s">
        <v>31</v>
      </c>
      <c r="C48" s="21"/>
      <c r="D48" s="21"/>
      <c r="E48" s="21"/>
      <c r="F48" s="21">
        <f t="shared" ref="F48:K48" si="2">+SUM(F45:F47)</f>
        <v>46.125</v>
      </c>
      <c r="G48" s="21">
        <f t="shared" si="2"/>
        <v>46.125</v>
      </c>
      <c r="H48" s="21">
        <f t="shared" si="2"/>
        <v>46.125</v>
      </c>
      <c r="I48" s="21">
        <f t="shared" si="2"/>
        <v>46.125</v>
      </c>
      <c r="J48" s="21">
        <f t="shared" si="2"/>
        <v>0</v>
      </c>
      <c r="K48" s="21">
        <f t="shared" si="2"/>
        <v>0</v>
      </c>
    </row>
    <row r="50" spans="2:11" ht="15" thickBot="1" x14ac:dyDescent="0.4"/>
    <row r="51" spans="2:11" ht="16.8" thickBot="1" x14ac:dyDescent="0.4">
      <c r="B51" s="30" t="s">
        <v>32</v>
      </c>
      <c r="C51" s="29"/>
      <c r="D51" s="29"/>
      <c r="E51" s="29"/>
      <c r="F51" s="29"/>
      <c r="G51" s="29"/>
      <c r="H51" s="29"/>
      <c r="I51" s="29"/>
      <c r="J51" s="29"/>
      <c r="K51" s="28"/>
    </row>
    <row r="53" spans="2:11" x14ac:dyDescent="0.35">
      <c r="B53" s="27"/>
      <c r="C53" s="27">
        <v>0</v>
      </c>
      <c r="D53" s="27">
        <v>1</v>
      </c>
      <c r="E53" s="27">
        <v>2</v>
      </c>
      <c r="F53" s="27">
        <v>3</v>
      </c>
      <c r="G53" s="27">
        <v>4</v>
      </c>
      <c r="H53" s="27">
        <v>5</v>
      </c>
      <c r="I53" s="27">
        <v>6</v>
      </c>
      <c r="J53" s="27">
        <v>7</v>
      </c>
      <c r="K53" s="27">
        <v>8</v>
      </c>
    </row>
    <row r="54" spans="2:11" x14ac:dyDescent="0.35">
      <c r="B54" s="26" t="s">
        <v>31</v>
      </c>
      <c r="C54" s="25"/>
      <c r="D54" s="25">
        <f t="shared" ref="D54:K54" si="3">+D48</f>
        <v>0</v>
      </c>
      <c r="E54" s="25">
        <f t="shared" si="3"/>
        <v>0</v>
      </c>
      <c r="F54" s="25">
        <f t="shared" si="3"/>
        <v>46.125</v>
      </c>
      <c r="G54" s="25">
        <f t="shared" si="3"/>
        <v>46.125</v>
      </c>
      <c r="H54" s="25">
        <f t="shared" si="3"/>
        <v>46.125</v>
      </c>
      <c r="I54" s="25">
        <f t="shared" si="3"/>
        <v>46.125</v>
      </c>
      <c r="J54" s="25">
        <f t="shared" si="3"/>
        <v>0</v>
      </c>
      <c r="K54" s="25">
        <f t="shared" si="3"/>
        <v>0</v>
      </c>
    </row>
    <row r="55" spans="2:11" x14ac:dyDescent="0.35">
      <c r="B55" s="24" t="str">
        <f t="shared" ref="B55:K55" si="4">+B14</f>
        <v>F. Inversiones</v>
      </c>
      <c r="C55" s="23">
        <f t="shared" si="4"/>
        <v>-15</v>
      </c>
      <c r="D55" s="23">
        <f t="shared" si="4"/>
        <v>-10</v>
      </c>
      <c r="E55" s="23">
        <f t="shared" si="4"/>
        <v>-160</v>
      </c>
      <c r="F55" s="23">
        <f t="shared" si="4"/>
        <v>0</v>
      </c>
      <c r="G55" s="23">
        <f t="shared" si="4"/>
        <v>0</v>
      </c>
      <c r="H55" s="23">
        <f t="shared" si="4"/>
        <v>0</v>
      </c>
      <c r="I55" s="23">
        <f t="shared" si="4"/>
        <v>75</v>
      </c>
      <c r="J55" s="23">
        <f t="shared" si="4"/>
        <v>-5</v>
      </c>
      <c r="K55" s="23">
        <f t="shared" si="4"/>
        <v>20</v>
      </c>
    </row>
    <row r="56" spans="2:11" x14ac:dyDescent="0.35">
      <c r="B56" s="22" t="s">
        <v>30</v>
      </c>
      <c r="C56" s="21">
        <f t="shared" ref="C56:K56" si="5">+C55+C54</f>
        <v>-15</v>
      </c>
      <c r="D56" s="21">
        <f t="shared" si="5"/>
        <v>-10</v>
      </c>
      <c r="E56" s="21">
        <f t="shared" si="5"/>
        <v>-160</v>
      </c>
      <c r="F56" s="21">
        <f t="shared" si="5"/>
        <v>46.125</v>
      </c>
      <c r="G56" s="21">
        <f t="shared" si="5"/>
        <v>46.125</v>
      </c>
      <c r="H56" s="21">
        <f t="shared" si="5"/>
        <v>46.125</v>
      </c>
      <c r="I56" s="21">
        <f t="shared" si="5"/>
        <v>121.125</v>
      </c>
      <c r="J56" s="21">
        <f t="shared" si="5"/>
        <v>-5</v>
      </c>
      <c r="K56" s="21">
        <f t="shared" si="5"/>
        <v>20</v>
      </c>
    </row>
    <row r="58" spans="2:11" x14ac:dyDescent="0.35">
      <c r="C58" s="41"/>
    </row>
    <row r="59" spans="2:11" x14ac:dyDescent="0.35">
      <c r="C59" s="49"/>
    </row>
  </sheetData>
  <conditionalFormatting sqref="C18:E18 F33">
    <cfRule type="expression" dxfId="2" priority="1" stopIfTrue="1">
      <formula>RiskColorCellsSimOutput</formula>
    </cfRule>
    <cfRule type="expression" dxfId="1" priority="2" stopIfTrue="1">
      <formula>RiskColorCellsSimInput</formula>
    </cfRule>
    <cfRule type="expression" dxfId="0" priority="3" stopIfTrue="1">
      <formula>RiskColorCellsSimStatistics</formula>
    </cfRule>
  </conditionalFormatting>
  <pageMargins left="0.75" right="0.75" top="1" bottom="1" header="0" footer="0"/>
  <pageSetup paperSize="8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Principal</vt:lpstr>
      <vt:lpstr>Flujos Esc Base</vt:lpstr>
      <vt:lpstr>Flujos con Etapas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01</dc:creator>
  <cp:lastModifiedBy>PC 01</cp:lastModifiedBy>
  <dcterms:created xsi:type="dcterms:W3CDTF">2024-04-27T18:11:55Z</dcterms:created>
  <dcterms:modified xsi:type="dcterms:W3CDTF">2024-04-27T20:10:05Z</dcterms:modified>
</cp:coreProperties>
</file>